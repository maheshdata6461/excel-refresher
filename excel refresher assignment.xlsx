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Downloads\"/>
    </mc:Choice>
  </mc:AlternateContent>
  <xr:revisionPtr revIDLastSave="0" documentId="8_{82582CAC-C85E-498C-AF6B-95F221C5820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2" l="1"/>
  <c r="B5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2" i="2"/>
  <c r="D12" i="1"/>
  <c r="B5" i="1"/>
</calcChain>
</file>

<file path=xl/sharedStrings.xml><?xml version="1.0" encoding="utf-8"?>
<sst xmlns="http://schemas.openxmlformats.org/spreadsheetml/2006/main" count="179" uniqueCount="87">
  <si>
    <t>vehicle</t>
  </si>
  <si>
    <t>price</t>
  </si>
  <si>
    <t>ans 2</t>
  </si>
  <si>
    <t xml:space="preserve">Car </t>
  </si>
  <si>
    <t xml:space="preserve">Bicycle </t>
  </si>
  <si>
    <t>Auto-Rickshaw</t>
  </si>
  <si>
    <t>total sales car and bicycle</t>
  </si>
  <si>
    <t xml:space="preserve">item </t>
  </si>
  <si>
    <t xml:space="preserve">sales </t>
  </si>
  <si>
    <t>Ans3</t>
  </si>
  <si>
    <t>item a</t>
  </si>
  <si>
    <t>item b</t>
  </si>
  <si>
    <t>item c</t>
  </si>
  <si>
    <t>averageifs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</si>
  <si>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</si>
  <si>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</si>
  <si>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</si>
  <si>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</si>
  <si>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</si>
  <si>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</si>
  <si>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</si>
  <si>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</si>
  <si>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</si>
  <si>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</si>
  <si>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</si>
  <si>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</si>
  <si>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</si>
  <si>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</si>
  <si>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</si>
  <si>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</si>
  <si>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</si>
  <si>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</si>
  <si>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</si>
  <si>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</si>
  <si>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</si>
  <si>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</si>
  <si>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</si>
  <si>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</si>
  <si>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</si>
  <si>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</si>
  <si>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</si>
  <si>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</si>
  <si>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</si>
  <si>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</si>
  <si>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</si>
  <si>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</si>
  <si>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</si>
  <si>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</si>
  <si>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</si>
  <si>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</si>
  <si>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</si>
  <si>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</si>
  <si>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</si>
  <si>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</si>
  <si>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</si>
  <si>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</si>
  <si>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</si>
  <si>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</si>
  <si>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</si>
  <si>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</si>
  <si>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</si>
  <si>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</si>
  <si>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</si>
  <si>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</si>
  <si>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</si>
  <si>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</si>
  <si>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</si>
  <si>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</si>
  <si>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</si>
  <si>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</si>
  <si>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</si>
  <si>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</si>
  <si>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</si>
  <si>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</si>
  <si>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</si>
  <si>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</si>
  <si>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</si>
  <si>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</si>
  <si>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</si>
  <si>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</si>
  <si>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ANS 4</t>
  </si>
  <si>
    <t>ANS 6</t>
  </si>
  <si>
    <t>NORTH SALE</t>
  </si>
  <si>
    <t xml:space="preserve">TOTAL SALE </t>
  </si>
  <si>
    <t>ans 5</t>
  </si>
  <si>
    <t>ans7</t>
  </si>
  <si>
    <t>ans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</si>
</sst>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1" fillId="0" borderId="3" xfId="0" applyFont="1" applyBorder="1"/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14" fontId="5" fillId="0" borderId="4" xfId="0" applyNumberFormat="1" applyFont="1" applyBorder="1" applyAlignment="1">
      <alignment horizontal="right" wrapText="1"/>
    </xf>
    <xf numFmtId="0" fontId="5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2" borderId="7" xfId="0" applyFont="1" applyFill="1" applyBorder="1" applyAlignment="1">
      <alignment wrapText="1"/>
    </xf>
    <xf numFmtId="0" fontId="1" fillId="3" borderId="7" xfId="0" applyFont="1" applyFill="1" applyBorder="1"/>
    <xf numFmtId="0" fontId="1" fillId="4" borderId="7" xfId="0" applyFont="1" applyFill="1" applyBorder="1"/>
    <xf numFmtId="0" fontId="1" fillId="4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Sheet2!$H$1</c:f>
              <c:strCache>
                <c:ptCount val="1"/>
                <c:pt idx="0">
                  <c:v>TOTAL SALE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Sheet2!$D$2:$D$51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Sheet2!$H$2:$H$51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4-4000-9F66-3F3B564F1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425896224"/>
        <c:axId val="1425898624"/>
        <c:axId val="1413817440"/>
      </c:bar3DChart>
      <c:catAx>
        <c:axId val="142589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898624"/>
        <c:crosses val="autoZero"/>
        <c:auto val="1"/>
        <c:lblAlgn val="ctr"/>
        <c:lblOffset val="100"/>
        <c:noMultiLvlLbl val="0"/>
      </c:catAx>
      <c:valAx>
        <c:axId val="142589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896224"/>
        <c:crosses val="autoZero"/>
        <c:crossBetween val="between"/>
      </c:valAx>
      <c:serAx>
        <c:axId val="1413817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898624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Sheet2!$G$39:$G$51</c:f>
              <c:numCache>
                <c:formatCode>m/d/yyyy</c:formatCode>
                <c:ptCount val="13"/>
                <c:pt idx="0">
                  <c:v>45345</c:v>
                </c:pt>
                <c:pt idx="1">
                  <c:v>45347</c:v>
                </c:pt>
                <c:pt idx="2">
                  <c:v>45348</c:v>
                </c:pt>
                <c:pt idx="3">
                  <c:v>45349</c:v>
                </c:pt>
                <c:pt idx="4">
                  <c:v>45350</c:v>
                </c:pt>
                <c:pt idx="5">
                  <c:v>45352</c:v>
                </c:pt>
                <c:pt idx="6">
                  <c:v>45353</c:v>
                </c:pt>
                <c:pt idx="7">
                  <c:v>45354</c:v>
                </c:pt>
                <c:pt idx="8">
                  <c:v>45355</c:v>
                </c:pt>
                <c:pt idx="9">
                  <c:v>45356</c:v>
                </c:pt>
                <c:pt idx="10">
                  <c:v>45357</c:v>
                </c:pt>
                <c:pt idx="11">
                  <c:v>45358</c:v>
                </c:pt>
                <c:pt idx="12">
                  <c:v>45359</c:v>
                </c:pt>
              </c:numCache>
            </c:numRef>
          </c:cat>
          <c:val>
            <c:numRef>
              <c:f>Sheet2!$H$39:$H$51</c:f>
              <c:numCache>
                <c:formatCode>General</c:formatCode>
                <c:ptCount val="13"/>
                <c:pt idx="0">
                  <c:v>192</c:v>
                </c:pt>
                <c:pt idx="1">
                  <c:v>800</c:v>
                </c:pt>
                <c:pt idx="2">
                  <c:v>270</c:v>
                </c:pt>
                <c:pt idx="3">
                  <c:v>525</c:v>
                </c:pt>
                <c:pt idx="4">
                  <c:v>150</c:v>
                </c:pt>
                <c:pt idx="5">
                  <c:v>208</c:v>
                </c:pt>
                <c:pt idx="6">
                  <c:v>700</c:v>
                </c:pt>
                <c:pt idx="7">
                  <c:v>200</c:v>
                </c:pt>
                <c:pt idx="8">
                  <c:v>425</c:v>
                </c:pt>
                <c:pt idx="9">
                  <c:v>95</c:v>
                </c:pt>
                <c:pt idx="10">
                  <c:v>256</c:v>
                </c:pt>
                <c:pt idx="11">
                  <c:v>600</c:v>
                </c:pt>
                <c:pt idx="12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86-4978-9B88-AFFF9C145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1720015"/>
        <c:axId val="1851721455"/>
      </c:lineChart>
      <c:dateAx>
        <c:axId val="185172001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721455"/>
        <c:crosses val="autoZero"/>
        <c:auto val="1"/>
        <c:lblOffset val="100"/>
        <c:baseTimeUnit val="days"/>
      </c:dateAx>
      <c:valAx>
        <c:axId val="185172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72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586740</xdr:colOff>
      <xdr:row>1</xdr:row>
      <xdr:rowOff>22866</xdr:rowOff>
    </xdr:from>
    <xdr:to>
      <xdr:col>18</xdr:col>
      <xdr:colOff>518160</xdr:colOff>
      <xdr:row>8</xdr:row>
      <xdr:rowOff>335286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04B687-7999-C0E6-DCB4-851266278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22860</xdr:colOff>
      <xdr:row>9</xdr:row>
      <xdr:rowOff>175260</xdr:rowOff>
    </xdr:from>
    <xdr:to>
      <xdr:col>19</xdr:col>
      <xdr:colOff>617220</xdr:colOff>
      <xdr:row>18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21FC72-E10C-FBDD-0FF7-0B71164572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B5" sqref="B5"/>
    </sheetView>
  </sheetViews>
  <sheetFormatPr defaultRowHeight="14.4" x14ac:dyDescent="0.3"/>
  <cols>
    <col min="1" max="1" width="23" bestFit="1" customWidth="1"/>
    <col min="4" max="4" width="5.33203125" bestFit="1" customWidth="1"/>
  </cols>
  <sheetData>
    <row r="1" spans="1:4" ht="15.6" x14ac:dyDescent="0.3">
      <c r="A1" s="1" t="s">
        <v>0</v>
      </c>
      <c r="B1" s="1" t="s">
        <v>1</v>
      </c>
      <c r="C1" s="3" t="s">
        <v>2</v>
      </c>
    </row>
    <row r="2" spans="1:4" x14ac:dyDescent="0.3">
      <c r="A2" t="s">
        <v>3</v>
      </c>
      <c r="B2" s="2">
        <v>500000</v>
      </c>
    </row>
    <row r="3" spans="1:4" x14ac:dyDescent="0.3">
      <c r="A3" t="s">
        <v>4</v>
      </c>
      <c r="B3">
        <v>10500</v>
      </c>
    </row>
    <row r="4" spans="1:4" x14ac:dyDescent="0.3">
      <c r="A4" t="s">
        <v>5</v>
      </c>
      <c r="B4">
        <v>25000</v>
      </c>
    </row>
    <row r="5" spans="1:4" x14ac:dyDescent="0.3">
      <c r="A5" s="6" t="s">
        <v>6</v>
      </c>
      <c r="B5" s="7">
        <f>B2+B3</f>
        <v>510500</v>
      </c>
    </row>
    <row r="8" spans="1:4" x14ac:dyDescent="0.3">
      <c r="A8" s="1" t="s">
        <v>7</v>
      </c>
      <c r="B8" s="1" t="s">
        <v>1</v>
      </c>
      <c r="C8" s="1" t="s">
        <v>8</v>
      </c>
      <c r="D8" s="4" t="s">
        <v>9</v>
      </c>
    </row>
    <row r="9" spans="1:4" x14ac:dyDescent="0.3">
      <c r="A9" t="s">
        <v>10</v>
      </c>
      <c r="B9">
        <v>90</v>
      </c>
      <c r="C9">
        <v>1000</v>
      </c>
    </row>
    <row r="10" spans="1:4" x14ac:dyDescent="0.3">
      <c r="A10" t="s">
        <v>11</v>
      </c>
      <c r="B10">
        <v>150</v>
      </c>
      <c r="C10">
        <v>1200</v>
      </c>
    </row>
    <row r="11" spans="1:4" x14ac:dyDescent="0.3">
      <c r="A11" t="s">
        <v>12</v>
      </c>
      <c r="B11">
        <v>250</v>
      </c>
      <c r="C11">
        <v>1500</v>
      </c>
    </row>
    <row r="12" spans="1:4" x14ac:dyDescent="0.3">
      <c r="A12" s="4" t="s">
        <v>13</v>
      </c>
      <c r="D12" s="5">
        <f>AVERAGEIFS(C9:C11,B9:B11,"&gt;100",B9:B11,"&lt;300")</f>
        <v>1350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95EB6-A186-4463-B33E-C8E237893E4C}">
  <dimension ref="A1:M53"/>
  <sheetViews>
    <sheetView tabSelected="1" zoomScaleNormal="100" workbookViewId="0">
      <pane ySplit="1" topLeftCell="A2" activePane="bottomLeft" state="frozen"/>
      <selection pane="bottomLeft" activeCell="L5" sqref="L5"/>
    </sheetView>
  </sheetViews>
  <sheetFormatPr defaultColWidth="9.6640625" defaultRowHeight="14.4" x14ac:dyDescent="0.3"/>
  <cols>
    <col min="1" max="1" width="7.5546875" bestFit="1" customWidth="1"/>
    <col min="3" max="3" width="6.77734375" bestFit="1" customWidth="1"/>
    <col min="4" max="4" width="9.21875" bestFit="1" customWidth="1"/>
    <col min="5" max="5" width="8.33203125" bestFit="1" customWidth="1"/>
    <col min="6" max="6" width="8.6640625" bestFit="1" customWidth="1"/>
    <col min="7" max="7" width="10.33203125" bestFit="1" customWidth="1"/>
    <col min="10" max="10" width="11.5546875" bestFit="1" customWidth="1"/>
  </cols>
  <sheetData>
    <row r="1" spans="1:13" ht="29.4" thickBot="1" x14ac:dyDescent="0.35">
      <c r="A1" s="8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13" t="s">
        <v>20</v>
      </c>
      <c r="H1" s="14" t="s">
        <v>83</v>
      </c>
      <c r="I1" s="14" t="s">
        <v>84</v>
      </c>
      <c r="J1" s="16" t="s">
        <v>82</v>
      </c>
    </row>
    <row r="2" spans="1:13" ht="29.4" thickBot="1" x14ac:dyDescent="0.35">
      <c r="A2" s="9">
        <v>1001</v>
      </c>
      <c r="B2" s="10" t="s">
        <v>21</v>
      </c>
      <c r="C2" s="10" t="s">
        <v>22</v>
      </c>
      <c r="D2" s="10" t="s">
        <v>23</v>
      </c>
      <c r="E2" s="9">
        <v>10</v>
      </c>
      <c r="F2" s="9">
        <v>50</v>
      </c>
      <c r="G2" s="11">
        <v>45296</v>
      </c>
      <c r="H2" s="1">
        <f>E2*F2</f>
        <v>500</v>
      </c>
      <c r="I2" s="1"/>
      <c r="J2" s="1">
        <f>SUMIFS(H2:H51,C2:C51,"north",D2:D51,"notebook")</f>
        <v>2900</v>
      </c>
      <c r="K2" s="17" t="s">
        <v>81</v>
      </c>
      <c r="L2" s="1" t="s">
        <v>85</v>
      </c>
    </row>
    <row r="3" spans="1:13" ht="29.4" thickBot="1" x14ac:dyDescent="0.35">
      <c r="A3" s="9">
        <v>1002</v>
      </c>
      <c r="B3" s="10" t="s">
        <v>24</v>
      </c>
      <c r="C3" s="10" t="s">
        <v>25</v>
      </c>
      <c r="D3" s="10" t="s">
        <v>26</v>
      </c>
      <c r="E3" s="9">
        <v>20</v>
      </c>
      <c r="F3" s="9">
        <v>10</v>
      </c>
      <c r="G3" s="11">
        <v>45297</v>
      </c>
      <c r="H3" s="1">
        <f t="shared" ref="H3:H51" si="0">E3*F3</f>
        <v>200</v>
      </c>
      <c r="I3" s="1"/>
    </row>
    <row r="4" spans="1:13" ht="29.4" thickBot="1" x14ac:dyDescent="0.35">
      <c r="A4" s="9">
        <v>1003</v>
      </c>
      <c r="B4" s="10" t="s">
        <v>27</v>
      </c>
      <c r="C4" s="10" t="s">
        <v>28</v>
      </c>
      <c r="D4" s="10" t="s">
        <v>29</v>
      </c>
      <c r="E4" s="9">
        <v>15</v>
      </c>
      <c r="F4" s="9">
        <v>25</v>
      </c>
      <c r="G4" s="11">
        <v>45298</v>
      </c>
      <c r="H4" s="1">
        <f t="shared" si="0"/>
        <v>375</v>
      </c>
      <c r="I4" s="1"/>
    </row>
    <row r="5" spans="1:13" ht="29.4" thickBot="1" x14ac:dyDescent="0.35">
      <c r="A5" s="9">
        <v>1004</v>
      </c>
      <c r="B5" s="10" t="s">
        <v>30</v>
      </c>
      <c r="C5" s="10" t="s">
        <v>31</v>
      </c>
      <c r="D5" s="10" t="s">
        <v>23</v>
      </c>
      <c r="E5" s="9">
        <v>5</v>
      </c>
      <c r="F5" s="9">
        <v>50</v>
      </c>
      <c r="G5" s="11">
        <v>45299</v>
      </c>
      <c r="H5" s="1">
        <f t="shared" si="0"/>
        <v>250</v>
      </c>
      <c r="I5" s="1"/>
    </row>
    <row r="6" spans="1:13" ht="15" thickBot="1" x14ac:dyDescent="0.35">
      <c r="A6" s="9">
        <v>1005</v>
      </c>
      <c r="B6" s="10" t="s">
        <v>32</v>
      </c>
      <c r="C6" s="10" t="s">
        <v>22</v>
      </c>
      <c r="D6" s="10" t="s">
        <v>33</v>
      </c>
      <c r="E6" s="9">
        <v>30</v>
      </c>
      <c r="F6" s="9">
        <v>5</v>
      </c>
      <c r="G6" s="11">
        <v>45301</v>
      </c>
      <c r="H6" s="1">
        <f t="shared" si="0"/>
        <v>150</v>
      </c>
      <c r="I6" s="1"/>
    </row>
    <row r="7" spans="1:13" ht="29.4" thickBot="1" x14ac:dyDescent="0.35">
      <c r="A7" s="9">
        <v>1006</v>
      </c>
      <c r="B7" s="10" t="s">
        <v>34</v>
      </c>
      <c r="C7" s="10" t="s">
        <v>25</v>
      </c>
      <c r="D7" s="10" t="s">
        <v>23</v>
      </c>
      <c r="E7" s="9">
        <v>12</v>
      </c>
      <c r="F7" s="9">
        <v>50</v>
      </c>
      <c r="G7" s="11">
        <v>45302</v>
      </c>
      <c r="H7" s="1">
        <f t="shared" si="0"/>
        <v>600</v>
      </c>
      <c r="I7" s="1"/>
    </row>
    <row r="8" spans="1:13" ht="29.4" thickBot="1" x14ac:dyDescent="0.35">
      <c r="A8" s="9">
        <v>1007</v>
      </c>
      <c r="B8" s="10" t="s">
        <v>35</v>
      </c>
      <c r="C8" s="10" t="s">
        <v>28</v>
      </c>
      <c r="D8" s="10" t="s">
        <v>36</v>
      </c>
      <c r="E8" s="9">
        <v>25</v>
      </c>
      <c r="F8" s="9">
        <v>8</v>
      </c>
      <c r="G8" s="11">
        <v>45304</v>
      </c>
      <c r="H8" s="1">
        <f t="shared" si="0"/>
        <v>200</v>
      </c>
      <c r="I8" s="1"/>
    </row>
    <row r="9" spans="1:13" ht="29.4" thickBot="1" x14ac:dyDescent="0.35">
      <c r="A9" s="9">
        <v>1008</v>
      </c>
      <c r="B9" s="10" t="s">
        <v>37</v>
      </c>
      <c r="C9" s="10" t="s">
        <v>31</v>
      </c>
      <c r="D9" s="10" t="s">
        <v>26</v>
      </c>
      <c r="E9" s="9">
        <v>18</v>
      </c>
      <c r="F9" s="9">
        <v>10</v>
      </c>
      <c r="G9" s="11">
        <v>45306</v>
      </c>
      <c r="H9" s="1">
        <f t="shared" si="0"/>
        <v>180</v>
      </c>
      <c r="I9" s="1"/>
    </row>
    <row r="10" spans="1:13" ht="15" thickBot="1" x14ac:dyDescent="0.35">
      <c r="A10" s="9">
        <v>1009</v>
      </c>
      <c r="B10" s="10" t="s">
        <v>38</v>
      </c>
      <c r="C10" s="10" t="s">
        <v>22</v>
      </c>
      <c r="D10" s="10" t="s">
        <v>29</v>
      </c>
      <c r="E10" s="9">
        <v>22</v>
      </c>
      <c r="F10" s="9">
        <v>25</v>
      </c>
      <c r="G10" s="11">
        <v>45308</v>
      </c>
      <c r="H10" s="1">
        <f t="shared" si="0"/>
        <v>550</v>
      </c>
      <c r="I10" s="1"/>
    </row>
    <row r="11" spans="1:13" ht="15" thickBot="1" x14ac:dyDescent="0.35">
      <c r="A11" s="9">
        <v>1010</v>
      </c>
      <c r="B11" s="10" t="s">
        <v>39</v>
      </c>
      <c r="C11" s="10" t="s">
        <v>25</v>
      </c>
      <c r="D11" s="10" t="s">
        <v>23</v>
      </c>
      <c r="E11" s="9">
        <v>8</v>
      </c>
      <c r="F11" s="9">
        <v>50</v>
      </c>
      <c r="G11" s="11">
        <v>45309</v>
      </c>
      <c r="H11" s="1">
        <f t="shared" si="0"/>
        <v>400</v>
      </c>
      <c r="I11" s="1"/>
      <c r="M11" s="1" t="s">
        <v>86</v>
      </c>
    </row>
    <row r="12" spans="1:13" ht="15" thickBot="1" x14ac:dyDescent="0.35">
      <c r="A12" s="9">
        <v>1011</v>
      </c>
      <c r="B12" s="10" t="s">
        <v>40</v>
      </c>
      <c r="C12" s="10" t="s">
        <v>28</v>
      </c>
      <c r="D12" s="10" t="s">
        <v>33</v>
      </c>
      <c r="E12" s="9">
        <v>40</v>
      </c>
      <c r="F12" s="9">
        <v>5</v>
      </c>
      <c r="G12" s="11">
        <v>45310</v>
      </c>
      <c r="H12" s="1">
        <f t="shared" si="0"/>
        <v>200</v>
      </c>
      <c r="I12" s="1"/>
    </row>
    <row r="13" spans="1:13" ht="29.4" thickBot="1" x14ac:dyDescent="0.35">
      <c r="A13" s="9">
        <v>1012</v>
      </c>
      <c r="B13" s="10" t="s">
        <v>41</v>
      </c>
      <c r="C13" s="10" t="s">
        <v>31</v>
      </c>
      <c r="D13" s="10" t="s">
        <v>36</v>
      </c>
      <c r="E13" s="9">
        <v>35</v>
      </c>
      <c r="F13" s="9">
        <v>8</v>
      </c>
      <c r="G13" s="11">
        <v>45311</v>
      </c>
      <c r="H13" s="1">
        <f t="shared" si="0"/>
        <v>280</v>
      </c>
      <c r="I13" s="1"/>
    </row>
    <row r="14" spans="1:13" ht="29.4" thickBot="1" x14ac:dyDescent="0.35">
      <c r="A14" s="9">
        <v>1013</v>
      </c>
      <c r="B14" s="10" t="s">
        <v>42</v>
      </c>
      <c r="C14" s="10" t="s">
        <v>22</v>
      </c>
      <c r="D14" s="10" t="s">
        <v>23</v>
      </c>
      <c r="E14" s="9">
        <v>14</v>
      </c>
      <c r="F14" s="9">
        <v>50</v>
      </c>
      <c r="G14" s="11">
        <v>45313</v>
      </c>
      <c r="H14" s="1">
        <f t="shared" si="0"/>
        <v>700</v>
      </c>
      <c r="I14" s="1"/>
    </row>
    <row r="15" spans="1:13" ht="29.4" thickBot="1" x14ac:dyDescent="0.35">
      <c r="A15" s="9">
        <v>1014</v>
      </c>
      <c r="B15" s="10" t="s">
        <v>43</v>
      </c>
      <c r="C15" s="10" t="s">
        <v>25</v>
      </c>
      <c r="D15" s="10" t="s">
        <v>26</v>
      </c>
      <c r="E15" s="9">
        <v>28</v>
      </c>
      <c r="F15" s="9">
        <v>10</v>
      </c>
      <c r="G15" s="11">
        <v>45314</v>
      </c>
      <c r="H15" s="1">
        <f t="shared" si="0"/>
        <v>280</v>
      </c>
      <c r="I15" s="1"/>
    </row>
    <row r="16" spans="1:13" ht="29.4" thickBot="1" x14ac:dyDescent="0.35">
      <c r="A16" s="9">
        <v>1015</v>
      </c>
      <c r="B16" s="10" t="s">
        <v>44</v>
      </c>
      <c r="C16" s="10" t="s">
        <v>28</v>
      </c>
      <c r="D16" s="10" t="s">
        <v>29</v>
      </c>
      <c r="E16" s="9">
        <v>12</v>
      </c>
      <c r="F16" s="9">
        <v>25</v>
      </c>
      <c r="G16" s="11">
        <v>45315</v>
      </c>
      <c r="H16" s="1">
        <f t="shared" si="0"/>
        <v>300</v>
      </c>
      <c r="I16" s="1"/>
    </row>
    <row r="17" spans="1:9" ht="29.4" thickBot="1" x14ac:dyDescent="0.35">
      <c r="A17" s="9">
        <v>1016</v>
      </c>
      <c r="B17" s="10" t="s">
        <v>45</v>
      </c>
      <c r="C17" s="10" t="s">
        <v>31</v>
      </c>
      <c r="D17" s="10" t="s">
        <v>33</v>
      </c>
      <c r="E17" s="9">
        <v>25</v>
      </c>
      <c r="F17" s="9">
        <v>5</v>
      </c>
      <c r="G17" s="11">
        <v>45317</v>
      </c>
      <c r="H17" s="1">
        <f t="shared" si="0"/>
        <v>125</v>
      </c>
      <c r="I17" s="1"/>
    </row>
    <row r="18" spans="1:9" ht="29.4" thickBot="1" x14ac:dyDescent="0.35">
      <c r="A18" s="9">
        <v>1017</v>
      </c>
      <c r="B18" s="10" t="s">
        <v>46</v>
      </c>
      <c r="C18" s="10" t="s">
        <v>22</v>
      </c>
      <c r="D18" s="10" t="s">
        <v>36</v>
      </c>
      <c r="E18" s="9">
        <v>20</v>
      </c>
      <c r="F18" s="9">
        <v>8</v>
      </c>
      <c r="G18" s="11">
        <v>45319</v>
      </c>
      <c r="H18" s="1">
        <f t="shared" si="0"/>
        <v>160</v>
      </c>
      <c r="I18" s="1"/>
    </row>
    <row r="19" spans="1:9" ht="29.4" thickBot="1" x14ac:dyDescent="0.35">
      <c r="A19" s="9">
        <v>1018</v>
      </c>
      <c r="B19" s="10" t="s">
        <v>47</v>
      </c>
      <c r="C19" s="10" t="s">
        <v>25</v>
      </c>
      <c r="D19" s="10" t="s">
        <v>23</v>
      </c>
      <c r="E19" s="9">
        <v>10</v>
      </c>
      <c r="F19" s="9">
        <v>50</v>
      </c>
      <c r="G19" s="11">
        <v>45320</v>
      </c>
      <c r="H19" s="1">
        <f t="shared" si="0"/>
        <v>500</v>
      </c>
      <c r="I19" s="1"/>
    </row>
    <row r="20" spans="1:9" ht="29.4" thickBot="1" x14ac:dyDescent="0.35">
      <c r="A20" s="9">
        <v>1019</v>
      </c>
      <c r="B20" s="10" t="s">
        <v>48</v>
      </c>
      <c r="C20" s="10" t="s">
        <v>28</v>
      </c>
      <c r="D20" s="10" t="s">
        <v>26</v>
      </c>
      <c r="E20" s="9">
        <v>15</v>
      </c>
      <c r="F20" s="9">
        <v>10</v>
      </c>
      <c r="G20" s="11">
        <v>45321</v>
      </c>
      <c r="H20" s="1">
        <f t="shared" si="0"/>
        <v>150</v>
      </c>
      <c r="I20" s="1"/>
    </row>
    <row r="21" spans="1:9" ht="29.4" thickBot="1" x14ac:dyDescent="0.35">
      <c r="A21" s="9">
        <v>1020</v>
      </c>
      <c r="B21" s="10" t="s">
        <v>49</v>
      </c>
      <c r="C21" s="10" t="s">
        <v>31</v>
      </c>
      <c r="D21" s="10" t="s">
        <v>29</v>
      </c>
      <c r="E21" s="9">
        <v>18</v>
      </c>
      <c r="F21" s="9">
        <v>25</v>
      </c>
      <c r="G21" s="11">
        <v>45323</v>
      </c>
      <c r="H21" s="1">
        <f t="shared" si="0"/>
        <v>450</v>
      </c>
      <c r="I21" s="1"/>
    </row>
    <row r="22" spans="1:9" ht="29.4" thickBot="1" x14ac:dyDescent="0.35">
      <c r="A22" s="9">
        <v>1021</v>
      </c>
      <c r="B22" s="10" t="s">
        <v>50</v>
      </c>
      <c r="C22" s="10" t="s">
        <v>22</v>
      </c>
      <c r="D22" s="10" t="s">
        <v>23</v>
      </c>
      <c r="E22" s="9">
        <v>9</v>
      </c>
      <c r="F22" s="9">
        <v>50</v>
      </c>
      <c r="G22" s="11">
        <v>45324</v>
      </c>
      <c r="H22" s="1">
        <f t="shared" si="0"/>
        <v>450</v>
      </c>
      <c r="I22" s="1"/>
    </row>
    <row r="23" spans="1:9" ht="29.4" thickBot="1" x14ac:dyDescent="0.35">
      <c r="A23" s="9">
        <v>1022</v>
      </c>
      <c r="B23" s="10" t="s">
        <v>51</v>
      </c>
      <c r="C23" s="10" t="s">
        <v>25</v>
      </c>
      <c r="D23" s="10" t="s">
        <v>33</v>
      </c>
      <c r="E23" s="9">
        <v>35</v>
      </c>
      <c r="F23" s="9">
        <v>5</v>
      </c>
      <c r="G23" s="11">
        <v>45325</v>
      </c>
      <c r="H23" s="1">
        <f t="shared" si="0"/>
        <v>175</v>
      </c>
      <c r="I23" s="1"/>
    </row>
    <row r="24" spans="1:9" ht="29.4" thickBot="1" x14ac:dyDescent="0.35">
      <c r="A24" s="9">
        <v>1023</v>
      </c>
      <c r="B24" s="10" t="s">
        <v>52</v>
      </c>
      <c r="C24" s="10" t="s">
        <v>28</v>
      </c>
      <c r="D24" s="10" t="s">
        <v>36</v>
      </c>
      <c r="E24" s="9">
        <v>30</v>
      </c>
      <c r="F24" s="9">
        <v>8</v>
      </c>
      <c r="G24" s="11">
        <v>45326</v>
      </c>
      <c r="H24" s="1">
        <f t="shared" si="0"/>
        <v>240</v>
      </c>
      <c r="I24" s="1"/>
    </row>
    <row r="25" spans="1:9" ht="29.4" thickBot="1" x14ac:dyDescent="0.35">
      <c r="A25" s="9">
        <v>1024</v>
      </c>
      <c r="B25" s="10" t="s">
        <v>53</v>
      </c>
      <c r="C25" s="10" t="s">
        <v>31</v>
      </c>
      <c r="D25" s="10" t="s">
        <v>23</v>
      </c>
      <c r="E25" s="9">
        <v>11</v>
      </c>
      <c r="F25" s="9">
        <v>50</v>
      </c>
      <c r="G25" s="11">
        <v>45328</v>
      </c>
      <c r="H25" s="1">
        <f t="shared" si="0"/>
        <v>550</v>
      </c>
      <c r="I25" s="1"/>
    </row>
    <row r="26" spans="1:9" ht="29.4" thickBot="1" x14ac:dyDescent="0.35">
      <c r="A26" s="9">
        <v>1025</v>
      </c>
      <c r="B26" s="10" t="s">
        <v>54</v>
      </c>
      <c r="C26" s="10" t="s">
        <v>22</v>
      </c>
      <c r="D26" s="10" t="s">
        <v>26</v>
      </c>
      <c r="E26" s="9">
        <v>14</v>
      </c>
      <c r="F26" s="9">
        <v>10</v>
      </c>
      <c r="G26" s="11">
        <v>45329</v>
      </c>
      <c r="H26" s="1">
        <f t="shared" si="0"/>
        <v>140</v>
      </c>
      <c r="I26" s="1"/>
    </row>
    <row r="27" spans="1:9" ht="29.4" thickBot="1" x14ac:dyDescent="0.35">
      <c r="A27" s="9">
        <v>1026</v>
      </c>
      <c r="B27" s="10" t="s">
        <v>55</v>
      </c>
      <c r="C27" s="10" t="s">
        <v>25</v>
      </c>
      <c r="D27" s="10" t="s">
        <v>29</v>
      </c>
      <c r="E27" s="9">
        <v>16</v>
      </c>
      <c r="F27" s="9">
        <v>25</v>
      </c>
      <c r="G27" s="11">
        <v>45330</v>
      </c>
      <c r="H27" s="1">
        <f t="shared" si="0"/>
        <v>400</v>
      </c>
      <c r="I27" s="1"/>
    </row>
    <row r="28" spans="1:9" ht="29.4" thickBot="1" x14ac:dyDescent="0.35">
      <c r="A28" s="9">
        <v>1027</v>
      </c>
      <c r="B28" s="10" t="s">
        <v>56</v>
      </c>
      <c r="C28" s="10" t="s">
        <v>28</v>
      </c>
      <c r="D28" s="10" t="s">
        <v>33</v>
      </c>
      <c r="E28" s="9">
        <v>22</v>
      </c>
      <c r="F28" s="9">
        <v>5</v>
      </c>
      <c r="G28" s="11">
        <v>45331</v>
      </c>
      <c r="H28" s="1">
        <f t="shared" si="0"/>
        <v>110</v>
      </c>
      <c r="I28" s="1"/>
    </row>
    <row r="29" spans="1:9" ht="29.4" thickBot="1" x14ac:dyDescent="0.35">
      <c r="A29" s="9">
        <v>1028</v>
      </c>
      <c r="B29" s="10" t="s">
        <v>57</v>
      </c>
      <c r="C29" s="10" t="s">
        <v>31</v>
      </c>
      <c r="D29" s="10" t="s">
        <v>36</v>
      </c>
      <c r="E29" s="9">
        <v>27</v>
      </c>
      <c r="F29" s="9">
        <v>8</v>
      </c>
      <c r="G29" s="11">
        <v>45332</v>
      </c>
      <c r="H29" s="1">
        <f t="shared" si="0"/>
        <v>216</v>
      </c>
      <c r="I29" s="1"/>
    </row>
    <row r="30" spans="1:9" ht="29.4" thickBot="1" x14ac:dyDescent="0.35">
      <c r="A30" s="9">
        <v>1029</v>
      </c>
      <c r="B30" s="10" t="s">
        <v>58</v>
      </c>
      <c r="C30" s="10" t="s">
        <v>22</v>
      </c>
      <c r="D30" s="10" t="s">
        <v>23</v>
      </c>
      <c r="E30" s="9">
        <v>13</v>
      </c>
      <c r="F30" s="9">
        <v>50</v>
      </c>
      <c r="G30" s="11">
        <v>45334</v>
      </c>
      <c r="H30" s="1">
        <f t="shared" si="0"/>
        <v>650</v>
      </c>
      <c r="I30" s="1"/>
    </row>
    <row r="31" spans="1:9" ht="29.4" thickBot="1" x14ac:dyDescent="0.35">
      <c r="A31" s="9">
        <v>1030</v>
      </c>
      <c r="B31" s="10" t="s">
        <v>59</v>
      </c>
      <c r="C31" s="10" t="s">
        <v>25</v>
      </c>
      <c r="D31" s="10" t="s">
        <v>26</v>
      </c>
      <c r="E31" s="9">
        <v>32</v>
      </c>
      <c r="F31" s="9">
        <v>10</v>
      </c>
      <c r="G31" s="11">
        <v>45335</v>
      </c>
      <c r="H31" s="1">
        <f t="shared" si="0"/>
        <v>320</v>
      </c>
      <c r="I31" s="1"/>
    </row>
    <row r="32" spans="1:9" ht="29.4" thickBot="1" x14ac:dyDescent="0.35">
      <c r="A32" s="9">
        <v>1031</v>
      </c>
      <c r="B32" s="10" t="s">
        <v>60</v>
      </c>
      <c r="C32" s="10" t="s">
        <v>28</v>
      </c>
      <c r="D32" s="10" t="s">
        <v>29</v>
      </c>
      <c r="E32" s="9">
        <v>10</v>
      </c>
      <c r="F32" s="9">
        <v>25</v>
      </c>
      <c r="G32" s="11">
        <v>45336</v>
      </c>
      <c r="H32" s="1">
        <f t="shared" si="0"/>
        <v>250</v>
      </c>
      <c r="I32" s="1"/>
    </row>
    <row r="33" spans="1:9" ht="15" thickBot="1" x14ac:dyDescent="0.35">
      <c r="A33" s="9">
        <v>1032</v>
      </c>
      <c r="B33" s="10" t="s">
        <v>61</v>
      </c>
      <c r="C33" s="10" t="s">
        <v>31</v>
      </c>
      <c r="D33" s="10" t="s">
        <v>33</v>
      </c>
      <c r="E33" s="9">
        <v>18</v>
      </c>
      <c r="F33" s="9">
        <v>5</v>
      </c>
      <c r="G33" s="11">
        <v>45338</v>
      </c>
      <c r="H33" s="1">
        <f t="shared" si="0"/>
        <v>90</v>
      </c>
      <c r="I33" s="1"/>
    </row>
    <row r="34" spans="1:9" ht="29.4" thickBot="1" x14ac:dyDescent="0.35">
      <c r="A34" s="9">
        <v>1033</v>
      </c>
      <c r="B34" s="10" t="s">
        <v>62</v>
      </c>
      <c r="C34" s="10" t="s">
        <v>22</v>
      </c>
      <c r="D34" s="10" t="s">
        <v>36</v>
      </c>
      <c r="E34" s="9">
        <v>22</v>
      </c>
      <c r="F34" s="9">
        <v>8</v>
      </c>
      <c r="G34" s="11">
        <v>45339</v>
      </c>
      <c r="H34" s="1">
        <f t="shared" si="0"/>
        <v>176</v>
      </c>
      <c r="I34" s="1"/>
    </row>
    <row r="35" spans="1:9" ht="29.4" thickBot="1" x14ac:dyDescent="0.35">
      <c r="A35" s="9">
        <v>1034</v>
      </c>
      <c r="B35" s="10" t="s">
        <v>63</v>
      </c>
      <c r="C35" s="10" t="s">
        <v>25</v>
      </c>
      <c r="D35" s="10" t="s">
        <v>23</v>
      </c>
      <c r="E35" s="9">
        <v>17</v>
      </c>
      <c r="F35" s="9">
        <v>50</v>
      </c>
      <c r="G35" s="11">
        <v>45340</v>
      </c>
      <c r="H35" s="1">
        <f t="shared" si="0"/>
        <v>850</v>
      </c>
      <c r="I35" s="1"/>
    </row>
    <row r="36" spans="1:9" ht="15" thickBot="1" x14ac:dyDescent="0.35">
      <c r="A36" s="9">
        <v>1035</v>
      </c>
      <c r="B36" s="10" t="s">
        <v>64</v>
      </c>
      <c r="C36" s="10" t="s">
        <v>28</v>
      </c>
      <c r="D36" s="10" t="s">
        <v>26</v>
      </c>
      <c r="E36" s="9">
        <v>19</v>
      </c>
      <c r="F36" s="9">
        <v>10</v>
      </c>
      <c r="G36" s="11">
        <v>45341</v>
      </c>
      <c r="H36" s="1">
        <f t="shared" si="0"/>
        <v>190</v>
      </c>
      <c r="I36" s="1"/>
    </row>
    <row r="37" spans="1:9" ht="29.4" thickBot="1" x14ac:dyDescent="0.35">
      <c r="A37" s="9">
        <v>1036</v>
      </c>
      <c r="B37" s="10" t="s">
        <v>65</v>
      </c>
      <c r="C37" s="10" t="s">
        <v>31</v>
      </c>
      <c r="D37" s="10" t="s">
        <v>29</v>
      </c>
      <c r="E37" s="9">
        <v>15</v>
      </c>
      <c r="F37" s="9">
        <v>25</v>
      </c>
      <c r="G37" s="11">
        <v>45343</v>
      </c>
      <c r="H37" s="1">
        <f t="shared" si="0"/>
        <v>375</v>
      </c>
      <c r="I37" s="1"/>
    </row>
    <row r="38" spans="1:9" ht="15" thickBot="1" x14ac:dyDescent="0.35">
      <c r="A38" s="9">
        <v>1037</v>
      </c>
      <c r="B38" s="10" t="s">
        <v>66</v>
      </c>
      <c r="C38" s="10" t="s">
        <v>22</v>
      </c>
      <c r="D38" s="10" t="s">
        <v>33</v>
      </c>
      <c r="E38" s="9">
        <v>28</v>
      </c>
      <c r="F38" s="9">
        <v>5</v>
      </c>
      <c r="G38" s="11">
        <v>45344</v>
      </c>
      <c r="H38" s="1">
        <f t="shared" si="0"/>
        <v>140</v>
      </c>
      <c r="I38" s="1"/>
    </row>
    <row r="39" spans="1:9" ht="29.4" thickBot="1" x14ac:dyDescent="0.35">
      <c r="A39" s="9">
        <v>1038</v>
      </c>
      <c r="B39" s="10" t="s">
        <v>67</v>
      </c>
      <c r="C39" s="10" t="s">
        <v>25</v>
      </c>
      <c r="D39" s="10" t="s">
        <v>36</v>
      </c>
      <c r="E39" s="9">
        <v>24</v>
      </c>
      <c r="F39" s="9">
        <v>8</v>
      </c>
      <c r="G39" s="11">
        <v>45345</v>
      </c>
      <c r="H39" s="1">
        <f t="shared" si="0"/>
        <v>192</v>
      </c>
      <c r="I39" s="1"/>
    </row>
    <row r="40" spans="1:9" ht="29.4" thickBot="1" x14ac:dyDescent="0.35">
      <c r="A40" s="9">
        <v>1039</v>
      </c>
      <c r="B40" s="10" t="s">
        <v>68</v>
      </c>
      <c r="C40" s="10" t="s">
        <v>28</v>
      </c>
      <c r="D40" s="10" t="s">
        <v>23</v>
      </c>
      <c r="E40" s="9">
        <v>16</v>
      </c>
      <c r="F40" s="9">
        <v>50</v>
      </c>
      <c r="G40" s="11">
        <v>45347</v>
      </c>
      <c r="H40" s="1">
        <f t="shared" si="0"/>
        <v>800</v>
      </c>
      <c r="I40" s="1"/>
    </row>
    <row r="41" spans="1:9" ht="29.4" thickBot="1" x14ac:dyDescent="0.35">
      <c r="A41" s="9">
        <v>1040</v>
      </c>
      <c r="B41" s="10" t="s">
        <v>69</v>
      </c>
      <c r="C41" s="10" t="s">
        <v>31</v>
      </c>
      <c r="D41" s="10" t="s">
        <v>26</v>
      </c>
      <c r="E41" s="9">
        <v>27</v>
      </c>
      <c r="F41" s="9">
        <v>10</v>
      </c>
      <c r="G41" s="11">
        <v>45348</v>
      </c>
      <c r="H41" s="1">
        <f t="shared" si="0"/>
        <v>270</v>
      </c>
      <c r="I41" s="1"/>
    </row>
    <row r="42" spans="1:9" ht="29.4" thickBot="1" x14ac:dyDescent="0.35">
      <c r="A42" s="9">
        <v>1041</v>
      </c>
      <c r="B42" s="10" t="s">
        <v>70</v>
      </c>
      <c r="C42" s="10" t="s">
        <v>22</v>
      </c>
      <c r="D42" s="10" t="s">
        <v>29</v>
      </c>
      <c r="E42" s="9">
        <v>21</v>
      </c>
      <c r="F42" s="9">
        <v>25</v>
      </c>
      <c r="G42" s="11">
        <v>45349</v>
      </c>
      <c r="H42" s="1">
        <f t="shared" si="0"/>
        <v>525</v>
      </c>
      <c r="I42" s="1"/>
    </row>
    <row r="43" spans="1:9" ht="29.4" thickBot="1" x14ac:dyDescent="0.35">
      <c r="A43" s="9">
        <v>1042</v>
      </c>
      <c r="B43" s="10" t="s">
        <v>71</v>
      </c>
      <c r="C43" s="10" t="s">
        <v>25</v>
      </c>
      <c r="D43" s="10" t="s">
        <v>33</v>
      </c>
      <c r="E43" s="9">
        <v>30</v>
      </c>
      <c r="F43" s="9">
        <v>5</v>
      </c>
      <c r="G43" s="11">
        <v>45350</v>
      </c>
      <c r="H43" s="1">
        <f t="shared" si="0"/>
        <v>150</v>
      </c>
      <c r="I43" s="1"/>
    </row>
    <row r="44" spans="1:9" ht="29.4" thickBot="1" x14ac:dyDescent="0.35">
      <c r="A44" s="9">
        <v>1043</v>
      </c>
      <c r="B44" s="10" t="s">
        <v>72</v>
      </c>
      <c r="C44" s="10" t="s">
        <v>28</v>
      </c>
      <c r="D44" s="10" t="s">
        <v>36</v>
      </c>
      <c r="E44" s="9">
        <v>26</v>
      </c>
      <c r="F44" s="9">
        <v>8</v>
      </c>
      <c r="G44" s="11">
        <v>45352</v>
      </c>
      <c r="H44" s="1">
        <f t="shared" si="0"/>
        <v>208</v>
      </c>
      <c r="I44" s="1"/>
    </row>
    <row r="45" spans="1:9" ht="29.4" thickBot="1" x14ac:dyDescent="0.35">
      <c r="A45" s="9">
        <v>1044</v>
      </c>
      <c r="B45" s="10" t="s">
        <v>73</v>
      </c>
      <c r="C45" s="10" t="s">
        <v>31</v>
      </c>
      <c r="D45" s="10" t="s">
        <v>23</v>
      </c>
      <c r="E45" s="9">
        <v>14</v>
      </c>
      <c r="F45" s="9">
        <v>50</v>
      </c>
      <c r="G45" s="11">
        <v>45353</v>
      </c>
      <c r="H45" s="1">
        <f t="shared" si="0"/>
        <v>700</v>
      </c>
      <c r="I45" s="1"/>
    </row>
    <row r="46" spans="1:9" ht="29.4" thickBot="1" x14ac:dyDescent="0.35">
      <c r="A46" s="9">
        <v>1045</v>
      </c>
      <c r="B46" s="10" t="s">
        <v>74</v>
      </c>
      <c r="C46" s="10" t="s">
        <v>22</v>
      </c>
      <c r="D46" s="10" t="s">
        <v>26</v>
      </c>
      <c r="E46" s="9">
        <v>20</v>
      </c>
      <c r="F46" s="9">
        <v>10</v>
      </c>
      <c r="G46" s="11">
        <v>45354</v>
      </c>
      <c r="H46" s="1">
        <f t="shared" si="0"/>
        <v>200</v>
      </c>
      <c r="I46" s="1"/>
    </row>
    <row r="47" spans="1:9" ht="15" thickBot="1" x14ac:dyDescent="0.35">
      <c r="A47" s="9">
        <v>1046</v>
      </c>
      <c r="B47" s="10" t="s">
        <v>75</v>
      </c>
      <c r="C47" s="10" t="s">
        <v>25</v>
      </c>
      <c r="D47" s="10" t="s">
        <v>29</v>
      </c>
      <c r="E47" s="9">
        <v>17</v>
      </c>
      <c r="F47" s="9">
        <v>25</v>
      </c>
      <c r="G47" s="11">
        <v>45355</v>
      </c>
      <c r="H47" s="1">
        <f t="shared" si="0"/>
        <v>425</v>
      </c>
      <c r="I47" s="1"/>
    </row>
    <row r="48" spans="1:9" ht="29.4" thickBot="1" x14ac:dyDescent="0.35">
      <c r="A48" s="9">
        <v>1047</v>
      </c>
      <c r="B48" s="10" t="s">
        <v>76</v>
      </c>
      <c r="C48" s="10" t="s">
        <v>28</v>
      </c>
      <c r="D48" s="10" t="s">
        <v>33</v>
      </c>
      <c r="E48" s="9">
        <v>19</v>
      </c>
      <c r="F48" s="9">
        <v>5</v>
      </c>
      <c r="G48" s="11">
        <v>45356</v>
      </c>
      <c r="H48" s="1">
        <f t="shared" si="0"/>
        <v>95</v>
      </c>
      <c r="I48" s="1"/>
    </row>
    <row r="49" spans="1:9" ht="29.4" thickBot="1" x14ac:dyDescent="0.35">
      <c r="A49" s="9">
        <v>1048</v>
      </c>
      <c r="B49" s="10" t="s">
        <v>77</v>
      </c>
      <c r="C49" s="10" t="s">
        <v>31</v>
      </c>
      <c r="D49" s="10" t="s">
        <v>36</v>
      </c>
      <c r="E49" s="9">
        <v>32</v>
      </c>
      <c r="F49" s="9">
        <v>8</v>
      </c>
      <c r="G49" s="11">
        <v>45357</v>
      </c>
      <c r="H49" s="1">
        <f t="shared" si="0"/>
        <v>256</v>
      </c>
      <c r="I49" s="1"/>
    </row>
    <row r="50" spans="1:9" ht="15" thickBot="1" x14ac:dyDescent="0.35">
      <c r="A50" s="9">
        <v>1049</v>
      </c>
      <c r="B50" s="10" t="s">
        <v>78</v>
      </c>
      <c r="C50" s="10" t="s">
        <v>22</v>
      </c>
      <c r="D50" s="10" t="s">
        <v>23</v>
      </c>
      <c r="E50" s="9">
        <v>12</v>
      </c>
      <c r="F50" s="9">
        <v>50</v>
      </c>
      <c r="G50" s="11">
        <v>45358</v>
      </c>
      <c r="H50" s="1">
        <f t="shared" si="0"/>
        <v>600</v>
      </c>
      <c r="I50" s="1"/>
    </row>
    <row r="51" spans="1:9" ht="29.4" thickBot="1" x14ac:dyDescent="0.35">
      <c r="A51" s="9">
        <v>1050</v>
      </c>
      <c r="B51" s="12" t="s">
        <v>79</v>
      </c>
      <c r="C51" s="10" t="s">
        <v>25</v>
      </c>
      <c r="D51" s="10" t="s">
        <v>26</v>
      </c>
      <c r="E51" s="9">
        <v>25</v>
      </c>
      <c r="F51" s="9">
        <v>10</v>
      </c>
      <c r="G51" s="11">
        <v>45359</v>
      </c>
      <c r="H51" s="1">
        <f t="shared" si="0"/>
        <v>250</v>
      </c>
      <c r="I51" s="1"/>
    </row>
    <row r="52" spans="1:9" x14ac:dyDescent="0.3">
      <c r="B52" s="15">
        <f>COUNTA(B1:B51)</f>
        <v>51</v>
      </c>
      <c r="H52" s="18"/>
      <c r="I52" s="18"/>
    </row>
    <row r="53" spans="1:9" x14ac:dyDescent="0.3">
      <c r="B53" s="15" t="s">
        <v>80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YASH</dc:creator>
  <cp:keywords/>
  <dc:description/>
  <cp:lastModifiedBy>Mahesh Sada</cp:lastModifiedBy>
  <cp:revision/>
  <cp:lastPrinted>2026-03-26T17:10:58Z</cp:lastPrinted>
  <dcterms:created xsi:type="dcterms:W3CDTF">2026-03-25T11:46:44Z</dcterms:created>
  <dcterms:modified xsi:type="dcterms:W3CDTF">2026-03-26T17:11:21Z</dcterms:modified>
  <cp:category/>
  <cp:contentStatus/>
</cp:coreProperties>
</file>